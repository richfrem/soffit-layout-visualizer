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fremmerlid/Renos/2024Roof and Gutters/D_Communications/"/>
    </mc:Choice>
  </mc:AlternateContent>
  <xr:revisionPtr revIDLastSave="0" documentId="13_ncr:1_{51C12EFD-C974-CB40-B860-5532DE9EB6BA}" xr6:coauthVersionLast="47" xr6:coauthVersionMax="47" xr10:uidLastSave="{00000000-0000-0000-0000-000000000000}"/>
  <bookViews>
    <workbookView xWindow="0" yWindow="600" windowWidth="26520" windowHeight="16300" xr2:uid="{83D9FC03-B9A0-C249-8285-6B7982A75E34}"/>
  </bookViews>
  <sheets>
    <sheet name="calculations" sheetId="1" r:id="rId1"/>
    <sheet name="Sheet1" sheetId="5" r:id="rId2"/>
    <sheet name="Sheet3" sheetId="3" r:id="rId3"/>
    <sheet name="soffit materials" sheetId="2" r:id="rId4"/>
  </sheets>
  <definedNames>
    <definedName name="SQ_FEET">calculations!$L$48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3" i="1" l="1"/>
  <c r="F23" i="1"/>
  <c r="G23" i="1"/>
  <c r="E53" i="1"/>
  <c r="K39" i="1"/>
  <c r="A14" i="5"/>
  <c r="A13" i="5"/>
  <c r="A11" i="5"/>
  <c r="A9" i="5"/>
  <c r="A3" i="5"/>
  <c r="E5" i="5"/>
  <c r="K21" i="1"/>
  <c r="D23" i="1"/>
  <c r="E23" i="1"/>
  <c r="C23" i="1"/>
  <c r="G36" i="1"/>
  <c r="K23" i="1" l="1"/>
  <c r="B37" i="3"/>
  <c r="I25" i="3"/>
  <c r="L55" i="1"/>
  <c r="I20" i="3"/>
  <c r="L3" i="3" l="1"/>
  <c r="C9" i="2"/>
  <c r="C15" i="2"/>
  <c r="B15" i="2"/>
  <c r="C4" i="2"/>
  <c r="C5" i="2"/>
  <c r="C7" i="2"/>
  <c r="C8" i="2"/>
  <c r="C3" i="2"/>
  <c r="F26" i="1"/>
  <c r="F36" i="1" s="1"/>
  <c r="E26" i="1"/>
  <c r="E36" i="1" s="1"/>
  <c r="K22" i="1" s="1"/>
  <c r="D26" i="1"/>
  <c r="D36" i="1" s="1"/>
  <c r="C26" i="1"/>
  <c r="C36" i="1" s="1"/>
  <c r="E24" i="1"/>
  <c r="E25" i="1" s="1"/>
  <c r="E19" i="1"/>
  <c r="E44" i="1" s="1"/>
  <c r="E13" i="1"/>
  <c r="E17" i="1" s="1"/>
  <c r="E18" i="1" s="1"/>
  <c r="E10" i="1"/>
  <c r="E11" i="1" s="1"/>
  <c r="E12" i="1" s="1"/>
  <c r="E4" i="1"/>
  <c r="E5" i="1" s="1"/>
  <c r="E6" i="1" s="1"/>
  <c r="C13" i="1"/>
  <c r="C17" i="1" s="1"/>
  <c r="C18" i="1" s="1"/>
  <c r="D13" i="1"/>
  <c r="D17" i="1" s="1"/>
  <c r="D18" i="1" s="1"/>
  <c r="F13" i="1"/>
  <c r="F17" i="1" s="1"/>
  <c r="F18" i="1" s="1"/>
  <c r="G13" i="1"/>
  <c r="G17" i="1" s="1"/>
  <c r="G18" i="1" s="1"/>
  <c r="G19" i="1"/>
  <c r="G44" i="1" s="1"/>
  <c r="F19" i="1"/>
  <c r="F44" i="1" s="1"/>
  <c r="D19" i="1"/>
  <c r="D44" i="1" s="1"/>
  <c r="C19" i="1"/>
  <c r="C44" i="1" s="1"/>
  <c r="E40" i="1" l="1"/>
  <c r="E41" i="1" s="1"/>
  <c r="E42" i="1" s="1"/>
  <c r="E46" i="1" s="1"/>
  <c r="E47" i="1" s="1"/>
  <c r="G24" i="1"/>
  <c r="G25" i="1" s="1"/>
  <c r="G10" i="1"/>
  <c r="G11" i="1" s="1"/>
  <c r="G12" i="1" s="1"/>
  <c r="G4" i="1"/>
  <c r="G5" i="1" s="1"/>
  <c r="G6" i="1" s="1"/>
  <c r="F4" i="1"/>
  <c r="F5" i="1" s="1"/>
  <c r="F6" i="1" s="1"/>
  <c r="D4" i="1"/>
  <c r="D5" i="1" s="1"/>
  <c r="D6" i="1" s="1"/>
  <c r="F10" i="1"/>
  <c r="F11" i="1" s="1"/>
  <c r="F12" i="1" s="1"/>
  <c r="D10" i="1"/>
  <c r="D11" i="1" s="1"/>
  <c r="D12" i="1" s="1"/>
  <c r="F24" i="1"/>
  <c r="F25" i="1" s="1"/>
  <c r="C10" i="1"/>
  <c r="C11" i="1" s="1"/>
  <c r="C12" i="1" s="1"/>
  <c r="C4" i="1"/>
  <c r="C5" i="1" s="1"/>
  <c r="C6" i="1" s="1"/>
  <c r="F40" i="1" l="1"/>
  <c r="F41" i="1" s="1"/>
  <c r="F42" i="1" s="1"/>
  <c r="F46" i="1" s="1"/>
  <c r="F47" i="1" s="1"/>
  <c r="E37" i="1"/>
  <c r="E38" i="1" s="1"/>
  <c r="D24" i="1"/>
  <c r="D25" i="1" s="1"/>
  <c r="C24" i="1"/>
  <c r="C25" i="1" s="1"/>
  <c r="F37" i="1" l="1"/>
  <c r="F38" i="1" s="1"/>
  <c r="G37" i="1"/>
  <c r="G38" i="1" s="1"/>
  <c r="G40" i="1"/>
  <c r="G41" i="1" s="1"/>
  <c r="G42" i="1" s="1"/>
  <c r="G46" i="1" s="1"/>
  <c r="G47" i="1" s="1"/>
  <c r="C37" i="1"/>
  <c r="C38" i="1" s="1"/>
  <c r="C40" i="1"/>
  <c r="C41" i="1" s="1"/>
  <c r="C42" i="1" s="1"/>
  <c r="C46" i="1" s="1"/>
  <c r="C47" i="1" s="1"/>
  <c r="D37" i="1"/>
  <c r="D38" i="1" s="1"/>
  <c r="D40" i="1"/>
  <c r="D41" i="1" s="1"/>
  <c r="D42" i="1" s="1"/>
  <c r="D46" i="1" s="1"/>
  <c r="D47" i="1" s="1"/>
</calcChain>
</file>

<file path=xl/sharedStrings.xml><?xml version="1.0" encoding="utf-8"?>
<sst xmlns="http://schemas.openxmlformats.org/spreadsheetml/2006/main" count="281" uniqueCount="139">
  <si>
    <t>Category</t>
  </si>
  <si>
    <t>Item</t>
  </si>
  <si>
    <t>Disposal &amp; Hazardous Testing</t>
  </si>
  <si>
    <t>SUBTOTAL</t>
  </si>
  <si>
    <t>GST (5%)</t>
  </si>
  <si>
    <t>TOTAL PROJECT COST</t>
  </si>
  <si>
    <t>Roof repair</t>
  </si>
  <si>
    <t>12 SV-50 roof vent removals, with plywood roof patching, ice and water barrier substrate added, shingles restitched into the roofline</t>
  </si>
  <si>
    <t>Plywood, underlayment, Shingles, flashing</t>
  </si>
  <si>
    <t>Total before tax</t>
  </si>
  <si>
    <t>GST</t>
  </si>
  <si>
    <t>Insulation &amp; Sealing</t>
  </si>
  <si>
    <t>Soffits</t>
  </si>
  <si>
    <t>Attic Insulation application with internal baffles and air sealing around light boxes, plumbing and duct work (R60)</t>
  </si>
  <si>
    <t>Cellulose blow in insulation, soffit baffles, air sealing supplies</t>
  </si>
  <si>
    <t>Total After tax</t>
  </si>
  <si>
    <t>Total after tax</t>
  </si>
  <si>
    <t>Soffit Removal</t>
  </si>
  <si>
    <t>Moisture Barrier Paint for a continuous
vapour barrier on the ceiling</t>
  </si>
  <si>
    <t>Electrical</t>
  </si>
  <si>
    <t>30 CCT Black LED lights wafer lights, 2 outdoor wall lights - with 3 Lutron Wifi Switches, 14/2 wire</t>
  </si>
  <si>
    <t>Services  provided by another contractor or
subcontractor - Electrical Contractor</t>
  </si>
  <si>
    <t>YES</t>
  </si>
  <si>
    <t>Agree with work and price</t>
  </si>
  <si>
    <t>AGREED</t>
  </si>
  <si>
    <t>COMPLETE</t>
  </si>
  <si>
    <t>Knotty Pine 1x6</t>
  </si>
  <si>
    <t>Materials:  Wood</t>
  </si>
  <si>
    <t>Tight knot cedar 1x4</t>
  </si>
  <si>
    <t>Clear Cedar 1x4</t>
  </si>
  <si>
    <t>Proboard 6" perforated autumn</t>
  </si>
  <si>
    <t>Materials:  Proboard 6" connectors</t>
  </si>
  <si>
    <t>Materials:  color matched T channel</t>
  </si>
  <si>
    <t>Materials:  color matched J channels</t>
  </si>
  <si>
    <t xml:space="preserve">Materials:  Proboard 6" perforated autumn 6" </t>
  </si>
  <si>
    <t>Soffit removal</t>
  </si>
  <si>
    <t>Actual Total after tax</t>
  </si>
  <si>
    <t>Skilled labour removal soffit, bugscreen, baffle installation, mold abatement</t>
  </si>
  <si>
    <t>Materials bug screen, baffles, spray</t>
  </si>
  <si>
    <t>skilled tradesman supervision</t>
  </si>
  <si>
    <t>Status</t>
  </si>
  <si>
    <t>warranty</t>
  </si>
  <si>
    <t>PAID</t>
  </si>
  <si>
    <t>TOTAL PAID</t>
  </si>
  <si>
    <t>Total remaining</t>
  </si>
  <si>
    <t>BDFT</t>
  </si>
  <si>
    <t>SQ Feet</t>
  </si>
  <si>
    <t>LINEAR feet</t>
  </si>
  <si>
    <t>Key measurements</t>
  </si>
  <si>
    <t>per sq foot</t>
  </si>
  <si>
    <t>https://www.westwindhardwood.com/product/softwoods/fir-douglas/</t>
  </si>
  <si>
    <t>perBDFT</t>
  </si>
  <si>
    <t>fromwestwindhardwood</t>
  </si>
  <si>
    <t>Clear 1x4 fir justin</t>
  </si>
  <si>
    <t>PerSqFoot</t>
  </si>
  <si>
    <t>price</t>
  </si>
  <si>
    <t>persq foot 10 foot boards</t>
  </si>
  <si>
    <t xml:space="preserve">quote mar 13, 2025 </t>
  </si>
  <si>
    <t>Soffit pricing</t>
  </si>
  <si>
    <t> $  1,440.00 </t>
  </si>
  <si>
    <t>Tight Knot Cedar 1x6</t>
  </si>
  <si>
    <t> $  2,949.12 </t>
  </si>
  <si>
    <t>Tight Knot Cedar 1x4</t>
  </si>
  <si>
    <t> $  2,090.88 </t>
  </si>
  <si>
    <t>Clear 1x4 Fir</t>
  </si>
  <si>
    <t> $  7,171.20 </t>
  </si>
  <si>
    <t>Clear 1x4 cedar</t>
  </si>
  <si>
    <t> $  7,948.80 </t>
  </si>
  <si>
    <t>Black Plastic Vent Strip</t>
  </si>
  <si>
    <t> $      295.56 </t>
  </si>
  <si>
    <t>Surface Prep&amp;Staining</t>
  </si>
  <si>
    <t> $      600.00 </t>
  </si>
  <si>
    <t>Installation</t>
  </si>
  <si>
    <t> $  2,400.00 </t>
  </si>
  <si>
    <t>Proboard 6" Perforated - Autumn</t>
  </si>
  <si>
    <t>Proboard 6" Connectors</t>
  </si>
  <si>
    <t>Colour-Matched J Channels</t>
  </si>
  <si>
    <t>Colour-Matched T Channel</t>
  </si>
  <si>
    <t>Type</t>
  </si>
  <si>
    <t>Price</t>
  </si>
  <si>
    <t>Labour</t>
  </si>
  <si>
    <t>Clear 1x4 Fir justin</t>
  </si>
  <si>
    <t>persqfoot</t>
  </si>
  <si>
    <t>c</t>
  </si>
  <si>
    <t>TOTAL</t>
  </si>
  <si>
    <t>clear 1x4 10 foot cedar west wind hardwood</t>
  </si>
  <si>
    <t xml:space="preserve">TOTAL WIDTH </t>
  </si>
  <si>
    <t>23-24"</t>
  </si>
  <si>
    <t>assume 23"</t>
  </si>
  <si>
    <t>segment 1</t>
  </si>
  <si>
    <t>segment 2</t>
  </si>
  <si>
    <t>segment 3</t>
  </si>
  <si>
    <t>segment4</t>
  </si>
  <si>
    <t>segement5</t>
  </si>
  <si>
    <t>segment6</t>
  </si>
  <si>
    <t>segment7</t>
  </si>
  <si>
    <t>segment8</t>
  </si>
  <si>
    <t>wood</t>
  </si>
  <si>
    <t>black plasted vent</t>
  </si>
  <si>
    <t>stucco</t>
  </si>
  <si>
    <t>house</t>
  </si>
  <si>
    <t>gutter side</t>
  </si>
  <si>
    <t>LEFT TO RIGHT in your image use these labels</t>
  </si>
  <si>
    <t>gutter black</t>
  </si>
  <si>
    <t>house side stucco</t>
  </si>
  <si>
    <t>linear board feet assumption</t>
  </si>
  <si>
    <t>clear grain fir kiln dried lowest 1x4</t>
  </si>
  <si>
    <t>segment3</t>
  </si>
  <si>
    <t>CVG Fir quotes</t>
  </si>
  <si>
    <t>Mark</t>
  </si>
  <si>
    <t>18 footers</t>
  </si>
  <si>
    <t xml:space="preserve">dan </t>
  </si>
  <si>
    <t xml:space="preserve">500sqft of 1x4/6 would be $5700 + tx. </t>
  </si>
  <si>
    <t>1x5</t>
  </si>
  <si>
    <t>1x6</t>
  </si>
  <si>
    <t>gutter / fascia</t>
  </si>
  <si>
    <t>Services: Soffit material sanding and prep</t>
  </si>
  <si>
    <t>Services:  Soffit staining</t>
  </si>
  <si>
    <t>Materials:  Sico SRD restain 100/gallon</t>
  </si>
  <si>
    <t>Materials:  Custom black painted vended metal</t>
  </si>
  <si>
    <t>Services:  installation T&amp;G</t>
  </si>
  <si>
    <t>Services provided by Electrical Journeyman: Rough in wiring of 3 lighting circuits, designer-grade LED lighting, wall sconce replacement, and Wi-Fi Controlled Switches, Electrical Permit cost and inspection - Price estimate only, price based on lighting choices</t>
  </si>
  <si>
    <t>sqft</t>
  </si>
  <si>
    <t>dimensions</t>
  </si>
  <si>
    <t>linear feet house</t>
  </si>
  <si>
    <t>width soffit</t>
  </si>
  <si>
    <t>total sq feet</t>
  </si>
  <si>
    <t>plus 10%</t>
  </si>
  <si>
    <t>sqfeet required</t>
  </si>
  <si>
    <t>Wood size</t>
  </si>
  <si>
    <t>width inches reveal</t>
  </si>
  <si>
    <t>linear feet assumed</t>
  </si>
  <si>
    <t>price per linear foot</t>
  </si>
  <si>
    <t>quoted</t>
  </si>
  <si>
    <t>total linear feet quoted</t>
  </si>
  <si>
    <t>assumeed linear feet required 500 sqft</t>
  </si>
  <si>
    <t>assumed 512</t>
  </si>
  <si>
    <t>1715 price</t>
  </si>
  <si>
    <t>1846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</si>
</sst>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1"/>
      <color rgb="FF000000"/>
      <name val="Aptos Narrow"/>
    </font>
    <font>
      <sz val="11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FFFFFF"/>
      <name val="Aptos Narrow"/>
      <family val="2"/>
      <scheme val="minor"/>
    </font>
    <font>
      <b/>
      <sz val="12"/>
      <color rgb="FF000000"/>
      <name val="Aptos Narrow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4FF1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D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AB77F"/>
        <bgColor indexed="64"/>
      </patternFill>
    </fill>
    <fill>
      <patternFill patternType="solid">
        <fgColor rgb="FFEAB77F"/>
        <bgColor rgb="FF000000"/>
      </patternFill>
    </fill>
    <fill>
      <patternFill patternType="solid">
        <fgColor rgb="FF404040"/>
        <bgColor rgb="FF000000"/>
      </patternFill>
    </fill>
    <fill>
      <patternFill patternType="solid">
        <fgColor rgb="FF393939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82">
    <xf numFmtId="0" fontId="0" fillId="0" borderId="0" xfId="0"/>
    <xf numFmtId="44" fontId="0" fillId="0" borderId="0" xfId="1" applyFont="1"/>
    <xf numFmtId="0" fontId="0" fillId="2" borderId="0" xfId="0" applyFill="1"/>
    <xf numFmtId="44" fontId="0" fillId="2" borderId="0" xfId="1" applyFont="1" applyFill="1"/>
    <xf numFmtId="0" fontId="0" fillId="3" borderId="0" xfId="0" applyFill="1"/>
    <xf numFmtId="44" fontId="0" fillId="3" borderId="0" xfId="1" applyFont="1" applyFill="1"/>
    <xf numFmtId="0" fontId="0" fillId="0" borderId="0" xfId="0" applyAlignment="1">
      <alignment horizontal="left" vertical="top"/>
    </xf>
    <xf numFmtId="0" fontId="3" fillId="3" borderId="0" xfId="0" applyFont="1" applyFill="1"/>
    <xf numFmtId="0" fontId="0" fillId="4" borderId="0" xfId="0" applyFill="1"/>
    <xf numFmtId="0" fontId="0" fillId="3" borderId="0" xfId="0" applyFill="1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 wrapText="1"/>
    </xf>
    <xf numFmtId="44" fontId="2" fillId="3" borderId="0" xfId="1" applyFont="1" applyFill="1"/>
    <xf numFmtId="44" fontId="0" fillId="4" borderId="0" xfId="1" applyFont="1" applyFill="1"/>
    <xf numFmtId="0" fontId="0" fillId="5" borderId="0" xfId="0" applyFill="1"/>
    <xf numFmtId="0" fontId="0" fillId="5" borderId="0" xfId="0" applyFill="1" applyAlignment="1">
      <alignment wrapText="1"/>
    </xf>
    <xf numFmtId="0" fontId="3" fillId="5" borderId="0" xfId="0" applyFont="1" applyFill="1" applyAlignment="1">
      <alignment horizontal="left" vertical="top" wrapText="1"/>
    </xf>
    <xf numFmtId="44" fontId="3" fillId="5" borderId="0" xfId="1" applyFont="1" applyFill="1"/>
    <xf numFmtId="0" fontId="5" fillId="7" borderId="0" xfId="0" applyFont="1" applyFill="1"/>
    <xf numFmtId="44" fontId="5" fillId="7" borderId="0" xfId="1" applyFont="1" applyFill="1"/>
    <xf numFmtId="0" fontId="5" fillId="7" borderId="0" xfId="0" applyFont="1" applyFill="1" applyAlignment="1">
      <alignment vertical="top"/>
    </xf>
    <xf numFmtId="44" fontId="5" fillId="7" borderId="0" xfId="1" applyFont="1" applyFill="1" applyAlignment="1">
      <alignment vertical="top"/>
    </xf>
    <xf numFmtId="0" fontId="5" fillId="7" borderId="0" xfId="0" applyFont="1" applyFill="1" applyAlignment="1">
      <alignment wrapText="1"/>
    </xf>
    <xf numFmtId="0" fontId="6" fillId="7" borderId="0" xfId="0" applyFont="1" applyFill="1"/>
    <xf numFmtId="44" fontId="6" fillId="7" borderId="0" xfId="1" applyFont="1" applyFill="1"/>
    <xf numFmtId="0" fontId="4" fillId="7" borderId="0" xfId="0" applyFont="1" applyFill="1" applyAlignment="1">
      <alignment vertical="top"/>
    </xf>
    <xf numFmtId="0" fontId="0" fillId="8" borderId="0" xfId="0" applyFill="1" applyAlignment="1">
      <alignment vertical="top"/>
    </xf>
    <xf numFmtId="0" fontId="4" fillId="0" borderId="0" xfId="0" applyFont="1"/>
    <xf numFmtId="44" fontId="0" fillId="0" borderId="0" xfId="0" applyNumberFormat="1"/>
    <xf numFmtId="0" fontId="2" fillId="0" borderId="0" xfId="0" applyFont="1"/>
    <xf numFmtId="44" fontId="2" fillId="0" borderId="0" xfId="1" applyFont="1"/>
    <xf numFmtId="0" fontId="0" fillId="6" borderId="0" xfId="0" applyFill="1" applyAlignment="1">
      <alignment horizontal="center" vertical="center" wrapText="1"/>
    </xf>
    <xf numFmtId="0" fontId="0" fillId="0" borderId="0" xfId="0" applyAlignment="1">
      <alignment vertical="center"/>
    </xf>
    <xf numFmtId="44" fontId="0" fillId="0" borderId="0" xfId="0" applyNumberFormat="1" applyAlignment="1">
      <alignment horizontal="left" vertical="top"/>
    </xf>
    <xf numFmtId="44" fontId="0" fillId="0" borderId="0" xfId="0" applyNumberFormat="1" applyAlignment="1">
      <alignment vertical="top"/>
    </xf>
    <xf numFmtId="0" fontId="4" fillId="7" borderId="0" xfId="0" applyFont="1" applyFill="1" applyAlignment="1">
      <alignment vertical="top" wrapText="1"/>
    </xf>
    <xf numFmtId="0" fontId="4" fillId="7" borderId="0" xfId="0" applyFont="1" applyFill="1" applyAlignment="1">
      <alignment wrapText="1"/>
    </xf>
    <xf numFmtId="0" fontId="0" fillId="9" borderId="0" xfId="0" applyFill="1" applyAlignment="1">
      <alignment vertical="top"/>
    </xf>
    <xf numFmtId="0" fontId="0" fillId="10" borderId="0" xfId="0" applyFill="1"/>
    <xf numFmtId="44" fontId="0" fillId="10" borderId="0" xfId="1" applyFont="1" applyFill="1"/>
    <xf numFmtId="0" fontId="0" fillId="8" borderId="0" xfId="0" applyFill="1"/>
    <xf numFmtId="44" fontId="0" fillId="8" borderId="0" xfId="1" applyFont="1" applyFill="1"/>
    <xf numFmtId="0" fontId="4" fillId="10" borderId="0" xfId="0" applyFont="1" applyFill="1"/>
    <xf numFmtId="0" fontId="8" fillId="10" borderId="0" xfId="0" applyFont="1" applyFill="1"/>
    <xf numFmtId="44" fontId="4" fillId="10" borderId="0" xfId="1" applyFont="1" applyFill="1"/>
    <xf numFmtId="0" fontId="4" fillId="10" borderId="0" xfId="0" applyFont="1" applyFill="1" applyAlignment="1">
      <alignment vertical="top"/>
    </xf>
    <xf numFmtId="0" fontId="5" fillId="10" borderId="0" xfId="0" applyFont="1" applyFill="1"/>
    <xf numFmtId="0" fontId="6" fillId="10" borderId="0" xfId="0" applyFont="1" applyFill="1"/>
    <xf numFmtId="44" fontId="6" fillId="10" borderId="0" xfId="1" applyFont="1" applyFill="1"/>
    <xf numFmtId="44" fontId="5" fillId="10" borderId="0" xfId="1" applyFont="1" applyFill="1"/>
    <xf numFmtId="0" fontId="2" fillId="11" borderId="0" xfId="0" applyFont="1" applyFill="1"/>
    <xf numFmtId="44" fontId="3" fillId="11" borderId="0" xfId="1" applyFont="1" applyFill="1"/>
    <xf numFmtId="44" fontId="2" fillId="11" borderId="0" xfId="1" applyFont="1" applyFill="1"/>
    <xf numFmtId="0" fontId="3" fillId="11" borderId="0" xfId="0" applyFont="1" applyFill="1"/>
    <xf numFmtId="0" fontId="3" fillId="5" borderId="0" xfId="0" applyFont="1" applyFill="1"/>
    <xf numFmtId="44" fontId="9" fillId="12" borderId="0" xfId="0" applyNumberFormat="1" applyFont="1" applyFill="1" applyAlignment="1">
      <alignment horizontal="left" vertical="top"/>
    </xf>
    <xf numFmtId="0" fontId="10" fillId="0" borderId="0" xfId="2"/>
    <xf numFmtId="44" fontId="0" fillId="8" borderId="0" xfId="0" applyNumberFormat="1" applyFill="1"/>
    <xf numFmtId="0" fontId="11" fillId="0" borderId="0" xfId="0" applyFont="1"/>
    <xf numFmtId="0" fontId="12" fillId="0" borderId="0" xfId="0" applyFont="1"/>
    <xf numFmtId="44" fontId="11" fillId="0" borderId="0" xfId="1" applyFont="1"/>
    <xf numFmtId="0" fontId="0" fillId="13" borderId="0" xfId="0" applyFill="1"/>
    <xf numFmtId="0" fontId="4" fillId="6" borderId="1" xfId="0" applyFont="1" applyFill="1" applyBorder="1" applyAlignment="1">
      <alignment horizontal="center"/>
    </xf>
    <xf numFmtId="0" fontId="4" fillId="14" borderId="1" xfId="0" applyFont="1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4" fontId="0" fillId="0" borderId="0" xfId="0" applyNumberFormat="1"/>
    <xf numFmtId="0" fontId="0" fillId="15" borderId="3" xfId="0" applyFill="1" applyBorder="1" applyAlignment="1">
      <alignment horizontal="center"/>
    </xf>
    <xf numFmtId="0" fontId="13" fillId="16" borderId="1" xfId="0" applyFont="1" applyFill="1" applyBorder="1" applyAlignment="1">
      <alignment horizontal="center"/>
    </xf>
    <xf numFmtId="0" fontId="14" fillId="17" borderId="4" xfId="0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/>
    </xf>
    <xf numFmtId="0" fontId="15" fillId="16" borderId="5" xfId="0" applyFont="1" applyFill="1" applyBorder="1" applyAlignment="1">
      <alignment horizontal="center"/>
    </xf>
    <xf numFmtId="0" fontId="14" fillId="18" borderId="6" xfId="0" applyFont="1" applyFill="1" applyBorder="1" applyAlignment="1">
      <alignment horizontal="center"/>
    </xf>
    <xf numFmtId="0" fontId="13" fillId="16" borderId="6" xfId="0" applyFont="1" applyFill="1" applyBorder="1" applyAlignment="1">
      <alignment horizontal="center"/>
    </xf>
    <xf numFmtId="0" fontId="13" fillId="16" borderId="5" xfId="0" applyFont="1" applyFill="1" applyBorder="1" applyAlignment="1">
      <alignment horizontal="center"/>
    </xf>
    <xf numFmtId="0" fontId="14" fillId="17" borderId="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left"/>
    </xf>
    <xf numFmtId="0" fontId="0" fillId="11" borderId="0" xfId="0" applyFont="1" applyFill="1"/>
    <xf numFmtId="0" fontId="0" fillId="5" borderId="0" xfId="0" applyFill="1" applyAlignment="1">
      <alignment vertical="top"/>
    </xf>
    <xf numFmtId="0" fontId="3" fillId="5" borderId="0" xfId="0" applyFont="1" applyFill="1" applyAlignment="1">
      <alignment vertical="top"/>
    </xf>
  </cellXfs>
  <cellStyles count="3">
    <cellStyle name="Currency" xfId="1" builtinId="4"/>
    <cellStyle name="Hyperlink" xfId="2" builtinId="8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4.9989318521683403E-2"/>
        <name val="Aptos Narrow"/>
        <family val="2"/>
        <scheme val="minor"/>
      </font>
      <numFmt numFmtId="34" formatCode="_(&quot;$&quot;* #,##0.00_);_(&quot;$&quot;* \(#,##0.00\);_(&quot;$&quot;* &quot;-&quot;??_);_(@_)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colors>
    <mruColors>
      <color rgb="FFEAB77F"/>
      <color rgb="FFFFFFD5"/>
      <color rgb="FFF4FF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42D8B7-1CF0-4343-9C65-C901FC47D3E7}" name="Table1" displayName="Table1" ref="A1:I39" totalsRowCount="1">
  <autoFilter ref="A1:I38" xr:uid="{4742D8B7-1CF0-4343-9C65-C901FC47D3E7}">
    <filterColumn colId="0">
      <filters>
        <filter val="Soffits"/>
      </filters>
    </filterColumn>
  </autoFilter>
  <tableColumns count="9">
    <tableColumn id="1" xr3:uid="{BCF8BDA1-936C-A944-A16E-BA73722A78CC}" name="Category" totalsRowDxfId="12"/>
    <tableColumn id="2" xr3:uid="{1A3CCD33-5A5B-824F-9652-9C7F9D8B0179}" name="Item" totalsRowDxfId="11"/>
    <tableColumn id="6" xr3:uid="{ADC4864C-1315-584F-A29F-485A4ADA0133}" name="Tight knot cedar 1x4" totalsRowDxfId="10"/>
    <tableColumn id="9" xr3:uid="{8F001AE9-E0D6-9B4A-B9C8-2009F1D4913A}" name="Clear 1x4 fir justin" dataDxfId="8" totalsRowDxfId="9" dataCellStyle="Currency"/>
    <tableColumn id="12" xr3:uid="{953FFAA1-1220-EC4D-A4DE-4CB497383B9E}" name="clear grain fir kiln dried lowest 1x4" totalsRowDxfId="7"/>
    <tableColumn id="8" xr3:uid="{273DF17A-1903-E742-9839-C3BF6B39A7CA}" name="Clear Cedar 1x4" dataDxfId="5" totalsRowDxfId="6" dataCellStyle="Currency"/>
    <tableColumn id="10" xr3:uid="{04815EA6-85B2-574C-BD76-6D133094A158}" name="Proboard 6&quot; perforated autumn" dataDxfId="3" totalsRowDxfId="4" dataCellStyle="Currency"/>
    <tableColumn id="7" xr3:uid="{CEBC5DB5-6548-314D-953E-2D7FBC09C6CD}" name="Agree with work and price" totalsRowDxfId="2"/>
    <tableColumn id="11" xr3:uid="{5C6329CD-E6BD-6844-A780-93128B111212}" name="Status" dataDxfId="0" totalsRowDxfId="1" dataCellStyle="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westwindhardwood.com/product/softwoods/fir-dougla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87D8B-83EE-CA48-97FD-454A0A9131F0}">
  <dimension ref="A1:M55"/>
  <sheetViews>
    <sheetView tabSelected="1" workbookViewId="0">
      <pane ySplit="1" topLeftCell="A26" activePane="bottomLeft" state="frozen"/>
      <selection pane="bottomLeft" activeCell="J41" sqref="J41"/>
    </sheetView>
  </sheetViews>
  <sheetFormatPr baseColWidth="10" defaultRowHeight="16" x14ac:dyDescent="0.2"/>
  <cols>
    <col min="1" max="1" width="12.33203125" customWidth="1"/>
    <col min="2" max="2" width="35.33203125" customWidth="1"/>
    <col min="3" max="3" width="12.1640625" hidden="1" customWidth="1"/>
    <col min="4" max="4" width="11.1640625" hidden="1" customWidth="1"/>
    <col min="5" max="5" width="11.1640625" customWidth="1"/>
    <col min="6" max="6" width="11.5" hidden="1" customWidth="1"/>
    <col min="7" max="7" width="11.5" customWidth="1"/>
    <col min="8" max="8" width="9.33203125" hidden="1" customWidth="1"/>
    <col min="9" max="9" width="10.83203125" customWidth="1"/>
    <col min="10" max="10" width="12.6640625" bestFit="1" customWidth="1"/>
  </cols>
  <sheetData>
    <row r="1" spans="1:10" ht="72" customHeight="1" x14ac:dyDescent="0.2">
      <c r="A1" s="32" t="s">
        <v>0</v>
      </c>
      <c r="B1" s="32" t="s">
        <v>1</v>
      </c>
      <c r="C1" s="11" t="s">
        <v>28</v>
      </c>
      <c r="D1" s="11" t="s">
        <v>53</v>
      </c>
      <c r="E1" s="11" t="s">
        <v>106</v>
      </c>
      <c r="F1" s="11" t="s">
        <v>29</v>
      </c>
      <c r="G1" s="11" t="s">
        <v>30</v>
      </c>
      <c r="H1" s="31" t="s">
        <v>23</v>
      </c>
      <c r="I1" t="s">
        <v>40</v>
      </c>
    </row>
    <row r="2" spans="1:10" hidden="1" x14ac:dyDescent="0.2">
      <c r="A2" s="2" t="s">
        <v>6</v>
      </c>
      <c r="B2" s="2" t="s">
        <v>7</v>
      </c>
      <c r="C2" s="3">
        <v>1350</v>
      </c>
      <c r="D2" s="3">
        <v>1350</v>
      </c>
      <c r="E2" s="3">
        <v>1350</v>
      </c>
      <c r="F2" s="3">
        <v>1350</v>
      </c>
      <c r="G2" s="3">
        <v>1350</v>
      </c>
      <c r="H2" s="26" t="s">
        <v>22</v>
      </c>
      <c r="I2" s="13" t="s">
        <v>41</v>
      </c>
    </row>
    <row r="3" spans="1:10" hidden="1" x14ac:dyDescent="0.2">
      <c r="A3" s="40" t="s">
        <v>6</v>
      </c>
      <c r="B3" s="40" t="s">
        <v>8</v>
      </c>
      <c r="C3" s="41">
        <v>467.53</v>
      </c>
      <c r="D3" s="41">
        <v>467.53</v>
      </c>
      <c r="E3" s="41">
        <v>467.53</v>
      </c>
      <c r="F3" s="41">
        <v>467.53</v>
      </c>
      <c r="G3" s="41">
        <v>467.53</v>
      </c>
      <c r="H3" s="26" t="s">
        <v>22</v>
      </c>
      <c r="I3" s="13" t="s">
        <v>41</v>
      </c>
    </row>
    <row r="4" spans="1:10" hidden="1" x14ac:dyDescent="0.2">
      <c r="A4" s="40" t="s">
        <v>6</v>
      </c>
      <c r="B4" s="40" t="s">
        <v>9</v>
      </c>
      <c r="C4" s="41">
        <f t="shared" ref="C4" si="0">C3+C2</f>
        <v>1817.53</v>
      </c>
      <c r="D4" s="41">
        <f t="shared" ref="D4:F4" si="1">D3+D2</f>
        <v>1817.53</v>
      </c>
      <c r="E4" s="41">
        <f t="shared" ref="E4" si="2">E3+E2</f>
        <v>1817.53</v>
      </c>
      <c r="F4" s="41">
        <f t="shared" si="1"/>
        <v>1817.53</v>
      </c>
      <c r="G4" s="41">
        <f t="shared" ref="G4" si="3">G3+G2</f>
        <v>1817.53</v>
      </c>
      <c r="H4" s="37" t="s">
        <v>22</v>
      </c>
      <c r="I4" s="13" t="s">
        <v>41</v>
      </c>
    </row>
    <row r="5" spans="1:10" hidden="1" x14ac:dyDescent="0.2">
      <c r="A5" s="2" t="s">
        <v>6</v>
      </c>
      <c r="B5" s="2" t="s">
        <v>10</v>
      </c>
      <c r="C5" s="3">
        <f t="shared" ref="C5" si="4">C4*0.05</f>
        <v>90.876500000000007</v>
      </c>
      <c r="D5" s="3">
        <f t="shared" ref="D5:F5" si="5">D4*0.05</f>
        <v>90.876500000000007</v>
      </c>
      <c r="E5" s="3">
        <f t="shared" ref="E5" si="6">E4*0.05</f>
        <v>90.876500000000007</v>
      </c>
      <c r="F5" s="3">
        <f t="shared" si="5"/>
        <v>90.876500000000007</v>
      </c>
      <c r="G5" s="3">
        <f t="shared" ref="G5" si="7">G4*0.05</f>
        <v>90.876500000000007</v>
      </c>
      <c r="H5" s="26" t="s">
        <v>22</v>
      </c>
      <c r="I5" s="13" t="s">
        <v>41</v>
      </c>
    </row>
    <row r="6" spans="1:10" hidden="1" x14ac:dyDescent="0.2">
      <c r="A6" s="42" t="s">
        <v>6</v>
      </c>
      <c r="B6" s="42" t="s">
        <v>16</v>
      </c>
      <c r="C6" s="44">
        <f t="shared" ref="C6" si="8">C5+C4</f>
        <v>1908.4065000000001</v>
      </c>
      <c r="D6" s="44">
        <f t="shared" ref="D6:F6" si="9">D5+D4</f>
        <v>1908.4065000000001</v>
      </c>
      <c r="E6" s="44">
        <f t="shared" ref="E6" si="10">E5+E4</f>
        <v>1908.4065000000001</v>
      </c>
      <c r="F6" s="44">
        <f t="shared" si="9"/>
        <v>1908.4065000000001</v>
      </c>
      <c r="G6" s="44">
        <f t="shared" ref="G6" si="11">G5+G4</f>
        <v>1908.4065000000001</v>
      </c>
      <c r="H6" s="45" t="s">
        <v>22</v>
      </c>
      <c r="I6" s="44" t="s">
        <v>41</v>
      </c>
    </row>
    <row r="7" spans="1:10" hidden="1" x14ac:dyDescent="0.2">
      <c r="A7" s="4" t="s">
        <v>11</v>
      </c>
      <c r="B7" s="4" t="s">
        <v>13</v>
      </c>
      <c r="C7" s="5">
        <v>3300</v>
      </c>
      <c r="D7" s="5">
        <v>3300</v>
      </c>
      <c r="E7" s="5">
        <v>3300</v>
      </c>
      <c r="F7" s="5">
        <v>3300</v>
      </c>
      <c r="G7" s="5">
        <v>3300</v>
      </c>
      <c r="H7" s="4" t="s">
        <v>24</v>
      </c>
      <c r="I7" s="13"/>
    </row>
    <row r="8" spans="1:10" hidden="1" x14ac:dyDescent="0.2">
      <c r="A8" s="4" t="s">
        <v>11</v>
      </c>
      <c r="B8" s="4" t="s">
        <v>14</v>
      </c>
      <c r="C8" s="5">
        <v>3100</v>
      </c>
      <c r="D8" s="5">
        <v>3100</v>
      </c>
      <c r="E8" s="5">
        <v>3100</v>
      </c>
      <c r="F8" s="5">
        <v>3100</v>
      </c>
      <c r="G8" s="5">
        <v>3100</v>
      </c>
      <c r="H8" s="4" t="s">
        <v>24</v>
      </c>
      <c r="I8" s="13"/>
    </row>
    <row r="9" spans="1:10" ht="34" hidden="1" x14ac:dyDescent="0.2">
      <c r="A9" s="4" t="s">
        <v>11</v>
      </c>
      <c r="B9" s="9" t="s">
        <v>18</v>
      </c>
      <c r="C9" s="5">
        <v>456.37</v>
      </c>
      <c r="D9" s="5">
        <v>456.37</v>
      </c>
      <c r="E9" s="5">
        <v>456.37</v>
      </c>
      <c r="F9" s="5">
        <v>456.37</v>
      </c>
      <c r="G9" s="5">
        <v>456.37</v>
      </c>
      <c r="H9" s="4" t="s">
        <v>24</v>
      </c>
      <c r="I9" s="13"/>
    </row>
    <row r="10" spans="1:10" hidden="1" x14ac:dyDescent="0.2">
      <c r="A10" s="4" t="s">
        <v>11</v>
      </c>
      <c r="B10" s="7" t="s">
        <v>9</v>
      </c>
      <c r="C10" s="12">
        <f t="shared" ref="C10:G10" si="12">SUM(C7:C9)</f>
        <v>6856.37</v>
      </c>
      <c r="D10" s="12">
        <f t="shared" si="12"/>
        <v>6856.37</v>
      </c>
      <c r="E10" s="12">
        <f t="shared" si="12"/>
        <v>6856.37</v>
      </c>
      <c r="F10" s="12">
        <f t="shared" si="12"/>
        <v>6856.37</v>
      </c>
      <c r="G10" s="12">
        <f t="shared" si="12"/>
        <v>6856.37</v>
      </c>
      <c r="H10" s="38" t="s">
        <v>24</v>
      </c>
      <c r="I10" s="13"/>
    </row>
    <row r="11" spans="1:10" hidden="1" x14ac:dyDescent="0.2">
      <c r="A11" s="4" t="s">
        <v>11</v>
      </c>
      <c r="B11" s="4" t="s">
        <v>10</v>
      </c>
      <c r="C11" s="5">
        <f t="shared" ref="C11:G11" si="13">C10*0.05</f>
        <v>342.81850000000003</v>
      </c>
      <c r="D11" s="5">
        <f t="shared" si="13"/>
        <v>342.81850000000003</v>
      </c>
      <c r="E11" s="5">
        <f t="shared" si="13"/>
        <v>342.81850000000003</v>
      </c>
      <c r="F11" s="5">
        <f t="shared" si="13"/>
        <v>342.81850000000003</v>
      </c>
      <c r="G11" s="5">
        <f t="shared" si="13"/>
        <v>342.81850000000003</v>
      </c>
      <c r="H11" s="4" t="s">
        <v>24</v>
      </c>
      <c r="I11" s="13"/>
    </row>
    <row r="12" spans="1:10" hidden="1" x14ac:dyDescent="0.2">
      <c r="A12" s="46" t="s">
        <v>11</v>
      </c>
      <c r="B12" s="47" t="s">
        <v>15</v>
      </c>
      <c r="C12" s="48">
        <f t="shared" ref="C12:G12" si="14">C11+C10</f>
        <v>7199.1885000000002</v>
      </c>
      <c r="D12" s="48">
        <f t="shared" si="14"/>
        <v>7199.1885000000002</v>
      </c>
      <c r="E12" s="48">
        <f t="shared" si="14"/>
        <v>7199.1885000000002</v>
      </c>
      <c r="F12" s="48">
        <f t="shared" si="14"/>
        <v>7199.1885000000002</v>
      </c>
      <c r="G12" s="48">
        <f t="shared" si="14"/>
        <v>7199.1885000000002</v>
      </c>
      <c r="H12" s="46" t="s">
        <v>24</v>
      </c>
      <c r="I12" s="49"/>
    </row>
    <row r="13" spans="1:10" hidden="1" x14ac:dyDescent="0.2">
      <c r="A13" s="20" t="s">
        <v>17</v>
      </c>
      <c r="B13" s="18" t="s">
        <v>2</v>
      </c>
      <c r="C13" s="19">
        <f t="shared" ref="C13:G13" si="15">73.57+382.73</f>
        <v>456.3</v>
      </c>
      <c r="D13" s="19">
        <f t="shared" si="15"/>
        <v>456.3</v>
      </c>
      <c r="E13" s="19">
        <f t="shared" si="15"/>
        <v>456.3</v>
      </c>
      <c r="F13" s="19">
        <f t="shared" si="15"/>
        <v>456.3</v>
      </c>
      <c r="G13" s="19">
        <f t="shared" si="15"/>
        <v>456.3</v>
      </c>
      <c r="H13" s="25" t="s">
        <v>25</v>
      </c>
      <c r="I13" s="13" t="s">
        <v>42</v>
      </c>
      <c r="J13" s="27"/>
    </row>
    <row r="14" spans="1:10" s="10" customFormat="1" ht="21" hidden="1" customHeight="1" x14ac:dyDescent="0.2">
      <c r="A14" s="20" t="s">
        <v>17</v>
      </c>
      <c r="B14" s="35" t="s">
        <v>37</v>
      </c>
      <c r="C14" s="21">
        <v>2145</v>
      </c>
      <c r="D14" s="21">
        <v>2145</v>
      </c>
      <c r="E14" s="21">
        <v>2145</v>
      </c>
      <c r="F14" s="21">
        <v>2145</v>
      </c>
      <c r="G14" s="21">
        <v>2145</v>
      </c>
      <c r="H14" s="25" t="s">
        <v>25</v>
      </c>
      <c r="I14" s="13" t="s">
        <v>42</v>
      </c>
      <c r="J14" s="34"/>
    </row>
    <row r="15" spans="1:10" ht="33" hidden="1" customHeight="1" x14ac:dyDescent="0.2">
      <c r="A15" s="20" t="s">
        <v>17</v>
      </c>
      <c r="B15" s="36" t="s">
        <v>38</v>
      </c>
      <c r="C15" s="19">
        <v>589.35</v>
      </c>
      <c r="D15" s="19">
        <v>589.35</v>
      </c>
      <c r="E15" s="19">
        <v>589.35</v>
      </c>
      <c r="F15" s="19">
        <v>589.35</v>
      </c>
      <c r="G15" s="19">
        <v>589.35</v>
      </c>
      <c r="H15" s="25" t="s">
        <v>25</v>
      </c>
      <c r="I15" s="13" t="s">
        <v>42</v>
      </c>
      <c r="J15" s="28"/>
    </row>
    <row r="16" spans="1:10" ht="33" hidden="1" customHeight="1" x14ac:dyDescent="0.2">
      <c r="A16" s="20" t="s">
        <v>17</v>
      </c>
      <c r="B16" s="22" t="s">
        <v>39</v>
      </c>
      <c r="C16" s="19">
        <v>225</v>
      </c>
      <c r="D16" s="19">
        <v>225</v>
      </c>
      <c r="E16" s="19">
        <v>225</v>
      </c>
      <c r="F16" s="19">
        <v>225</v>
      </c>
      <c r="G16" s="19">
        <v>225</v>
      </c>
      <c r="H16" s="25"/>
      <c r="I16" s="13" t="s">
        <v>42</v>
      </c>
      <c r="J16" s="28"/>
    </row>
    <row r="17" spans="1:12" hidden="1" x14ac:dyDescent="0.2">
      <c r="A17" s="20" t="s">
        <v>17</v>
      </c>
      <c r="B17" s="23" t="s">
        <v>9</v>
      </c>
      <c r="C17" s="24">
        <f t="shared" ref="C17:G17" si="16">SUM(C13:C16)</f>
        <v>3415.65</v>
      </c>
      <c r="D17" s="24">
        <f t="shared" si="16"/>
        <v>3415.65</v>
      </c>
      <c r="E17" s="24">
        <f t="shared" si="16"/>
        <v>3415.65</v>
      </c>
      <c r="F17" s="24">
        <f t="shared" si="16"/>
        <v>3415.65</v>
      </c>
      <c r="G17" s="24">
        <f t="shared" si="16"/>
        <v>3415.65</v>
      </c>
      <c r="H17" s="25" t="s">
        <v>25</v>
      </c>
      <c r="I17" s="13" t="s">
        <v>42</v>
      </c>
      <c r="J17" s="28"/>
    </row>
    <row r="18" spans="1:12" hidden="1" x14ac:dyDescent="0.2">
      <c r="A18" s="20" t="s">
        <v>17</v>
      </c>
      <c r="B18" s="18" t="s">
        <v>10</v>
      </c>
      <c r="C18" s="19">
        <f t="shared" ref="C18:G18" si="17">C17*0.05</f>
        <v>170.78250000000003</v>
      </c>
      <c r="D18" s="19">
        <f t="shared" si="17"/>
        <v>170.78250000000003</v>
      </c>
      <c r="E18" s="19">
        <f t="shared" si="17"/>
        <v>170.78250000000003</v>
      </c>
      <c r="F18" s="19">
        <f t="shared" si="17"/>
        <v>170.78250000000003</v>
      </c>
      <c r="G18" s="19">
        <f t="shared" si="17"/>
        <v>170.78250000000003</v>
      </c>
      <c r="H18" s="25" t="s">
        <v>25</v>
      </c>
      <c r="I18" s="13" t="s">
        <v>42</v>
      </c>
      <c r="J18" s="28"/>
    </row>
    <row r="19" spans="1:12" hidden="1" x14ac:dyDescent="0.2">
      <c r="A19" s="42" t="s">
        <v>35</v>
      </c>
      <c r="B19" s="43" t="s">
        <v>36</v>
      </c>
      <c r="C19" s="44">
        <f t="shared" ref="C19:G19" si="18">3586.44</f>
        <v>3586.44</v>
      </c>
      <c r="D19" s="44">
        <f t="shared" si="18"/>
        <v>3586.44</v>
      </c>
      <c r="E19" s="44">
        <f t="shared" si="18"/>
        <v>3586.44</v>
      </c>
      <c r="F19" s="44">
        <f t="shared" si="18"/>
        <v>3586.44</v>
      </c>
      <c r="G19" s="44">
        <f t="shared" si="18"/>
        <v>3586.44</v>
      </c>
      <c r="H19" s="45"/>
      <c r="I19" s="39" t="s">
        <v>42</v>
      </c>
    </row>
    <row r="20" spans="1:12" ht="119" hidden="1" x14ac:dyDescent="0.2">
      <c r="A20" s="80" t="s">
        <v>19</v>
      </c>
      <c r="B20" s="15" t="s">
        <v>121</v>
      </c>
      <c r="C20" s="17"/>
      <c r="D20" s="17">
        <v>4350</v>
      </c>
      <c r="E20" s="17">
        <v>4350</v>
      </c>
      <c r="F20" s="17">
        <v>4350</v>
      </c>
      <c r="G20" s="17">
        <v>4350</v>
      </c>
      <c r="H20" s="45"/>
      <c r="I20" s="13"/>
    </row>
    <row r="21" spans="1:12" ht="51" hidden="1" x14ac:dyDescent="0.2">
      <c r="A21" s="80" t="s">
        <v>19</v>
      </c>
      <c r="B21" s="15" t="s">
        <v>20</v>
      </c>
      <c r="C21" s="17">
        <v>850</v>
      </c>
      <c r="D21" s="17"/>
      <c r="E21" s="17"/>
      <c r="F21" s="17"/>
      <c r="G21" s="17"/>
      <c r="H21" s="14"/>
      <c r="I21" s="13"/>
      <c r="K21">
        <f>70*30</f>
        <v>2100</v>
      </c>
    </row>
    <row r="22" spans="1:12" ht="51" hidden="1" x14ac:dyDescent="0.2">
      <c r="A22" s="80" t="s">
        <v>19</v>
      </c>
      <c r="B22" s="16" t="s">
        <v>21</v>
      </c>
      <c r="C22" s="17">
        <v>760</v>
      </c>
      <c r="D22" s="17"/>
      <c r="E22" s="17"/>
      <c r="F22" s="17"/>
      <c r="G22" s="17"/>
      <c r="H22" s="14"/>
      <c r="I22" s="13"/>
      <c r="K22" s="28">
        <f>E23+E36-E26</f>
        <v>7401.9</v>
      </c>
    </row>
    <row r="23" spans="1:12" hidden="1" x14ac:dyDescent="0.2">
      <c r="A23" s="81" t="s">
        <v>19</v>
      </c>
      <c r="B23" s="54" t="s">
        <v>9</v>
      </c>
      <c r="C23" s="17">
        <f>SUM(C20:C22)</f>
        <v>1610</v>
      </c>
      <c r="D23" s="17">
        <f t="shared" ref="D23:F23" si="19">SUM(D20:D22)</f>
        <v>4350</v>
      </c>
      <c r="E23" s="17">
        <f t="shared" si="19"/>
        <v>4350</v>
      </c>
      <c r="F23" s="17">
        <f t="shared" ref="F23" si="20">SUM(F20:F22)</f>
        <v>4350</v>
      </c>
      <c r="G23" s="17">
        <f t="shared" ref="G23" si="21">SUM(G20:G22)</f>
        <v>4350</v>
      </c>
      <c r="H23" s="14"/>
      <c r="I23" s="13"/>
      <c r="K23" s="28">
        <f>Table1[[#This Row],[clear grain fir kiln dried lowest 1x4]]-Table1[[#This Row],[Clear 1x4 fir justin]]</f>
        <v>0</v>
      </c>
    </row>
    <row r="24" spans="1:12" hidden="1" x14ac:dyDescent="0.2">
      <c r="A24" s="81" t="s">
        <v>19</v>
      </c>
      <c r="B24" s="54" t="s">
        <v>10</v>
      </c>
      <c r="C24" s="17">
        <f t="shared" ref="C24:G24" si="22">C23*0.05</f>
        <v>80.5</v>
      </c>
      <c r="D24" s="17">
        <f t="shared" si="22"/>
        <v>217.5</v>
      </c>
      <c r="E24" s="17">
        <f t="shared" si="22"/>
        <v>217.5</v>
      </c>
      <c r="F24" s="17">
        <f t="shared" si="22"/>
        <v>217.5</v>
      </c>
      <c r="G24" s="17">
        <f t="shared" si="22"/>
        <v>217.5</v>
      </c>
      <c r="H24" s="14"/>
      <c r="I24" s="13"/>
    </row>
    <row r="25" spans="1:12" hidden="1" x14ac:dyDescent="0.2">
      <c r="A25" s="46" t="s">
        <v>19</v>
      </c>
      <c r="B25" s="46" t="s">
        <v>15</v>
      </c>
      <c r="C25" s="49">
        <f t="shared" ref="C25:G25" si="23">C24+C23</f>
        <v>1690.5</v>
      </c>
      <c r="D25" s="49">
        <f t="shared" si="23"/>
        <v>4567.5</v>
      </c>
      <c r="E25" s="49">
        <f t="shared" si="23"/>
        <v>4567.5</v>
      </c>
      <c r="F25" s="49">
        <f t="shared" si="23"/>
        <v>4567.5</v>
      </c>
      <c r="G25" s="49">
        <f t="shared" si="23"/>
        <v>4567.5</v>
      </c>
      <c r="H25" s="46"/>
      <c r="I25" s="49"/>
    </row>
    <row r="26" spans="1:12" x14ac:dyDescent="0.2">
      <c r="A26" s="53" t="s">
        <v>12</v>
      </c>
      <c r="B26" s="53" t="s">
        <v>27</v>
      </c>
      <c r="C26" s="51">
        <f>C53*SQ_FEET</f>
        <v>2245</v>
      </c>
      <c r="D26" s="51">
        <f>D53*SQ_FEET</f>
        <v>7695</v>
      </c>
      <c r="E26" s="51">
        <f>E53*SQ_FEET</f>
        <v>6719.4400000000005</v>
      </c>
      <c r="F26" s="51">
        <f>F53*SQ_FEET</f>
        <v>8530</v>
      </c>
      <c r="G26" s="51"/>
      <c r="H26" s="8"/>
      <c r="I26" s="51"/>
      <c r="K26" t="s">
        <v>54</v>
      </c>
      <c r="L26" t="s">
        <v>55</v>
      </c>
    </row>
    <row r="27" spans="1:12" x14ac:dyDescent="0.2">
      <c r="A27" s="53" t="s">
        <v>12</v>
      </c>
      <c r="B27" s="79" t="s">
        <v>118</v>
      </c>
      <c r="C27" s="51">
        <v>100</v>
      </c>
      <c r="D27" s="51">
        <v>100</v>
      </c>
      <c r="E27" s="51">
        <v>100</v>
      </c>
      <c r="F27" s="51">
        <v>100</v>
      </c>
      <c r="G27" s="51"/>
      <c r="H27" s="8"/>
      <c r="I27" s="51"/>
    </row>
    <row r="28" spans="1:12" x14ac:dyDescent="0.2">
      <c r="A28" s="53" t="s">
        <v>12</v>
      </c>
      <c r="B28" s="79" t="s">
        <v>119</v>
      </c>
      <c r="C28" s="51">
        <v>614.4</v>
      </c>
      <c r="D28" s="51">
        <v>614.4</v>
      </c>
      <c r="E28" s="51">
        <v>614.4</v>
      </c>
      <c r="F28" s="51">
        <v>614.4</v>
      </c>
      <c r="G28" s="51"/>
      <c r="H28" s="8"/>
      <c r="I28" s="51"/>
    </row>
    <row r="29" spans="1:12" x14ac:dyDescent="0.2">
      <c r="A29" s="53" t="s">
        <v>12</v>
      </c>
      <c r="B29" s="53" t="s">
        <v>34</v>
      </c>
      <c r="C29" s="51"/>
      <c r="D29" s="51"/>
      <c r="E29" s="51"/>
      <c r="F29" s="51"/>
      <c r="G29" s="51">
        <v>4734.72</v>
      </c>
      <c r="H29" s="8"/>
      <c r="I29" s="51"/>
    </row>
    <row r="30" spans="1:12" x14ac:dyDescent="0.2">
      <c r="A30" s="53" t="s">
        <v>12</v>
      </c>
      <c r="B30" s="53" t="s">
        <v>31</v>
      </c>
      <c r="C30" s="51"/>
      <c r="D30" s="51"/>
      <c r="E30" s="51"/>
      <c r="F30" s="51"/>
      <c r="G30" s="51">
        <v>195.84</v>
      </c>
      <c r="H30" s="8"/>
      <c r="I30" s="51"/>
    </row>
    <row r="31" spans="1:12" x14ac:dyDescent="0.2">
      <c r="A31" s="53" t="s">
        <v>12</v>
      </c>
      <c r="B31" s="53" t="s">
        <v>33</v>
      </c>
      <c r="C31" s="51"/>
      <c r="D31" s="51"/>
      <c r="E31" s="51"/>
      <c r="F31" s="51"/>
      <c r="G31" s="51">
        <v>1042.56</v>
      </c>
      <c r="H31" s="8"/>
      <c r="I31" s="51"/>
    </row>
    <row r="32" spans="1:12" x14ac:dyDescent="0.2">
      <c r="A32" s="53" t="s">
        <v>12</v>
      </c>
      <c r="B32" s="53" t="s">
        <v>32</v>
      </c>
      <c r="C32" s="51"/>
      <c r="D32" s="51"/>
      <c r="E32" s="51"/>
      <c r="F32" s="51"/>
      <c r="G32" s="51">
        <v>116.88</v>
      </c>
      <c r="H32" s="8"/>
      <c r="I32" s="51"/>
    </row>
    <row r="33" spans="1:13" x14ac:dyDescent="0.2">
      <c r="A33" s="53" t="s">
        <v>12</v>
      </c>
      <c r="B33" s="79" t="s">
        <v>116</v>
      </c>
      <c r="C33" s="51">
        <v>247.5</v>
      </c>
      <c r="D33" s="51">
        <v>247.5</v>
      </c>
      <c r="E33" s="51">
        <v>247.5</v>
      </c>
      <c r="F33" s="51">
        <v>247.5</v>
      </c>
      <c r="G33" s="51"/>
      <c r="H33" s="53"/>
      <c r="I33" s="51"/>
    </row>
    <row r="34" spans="1:13" x14ac:dyDescent="0.2">
      <c r="A34" s="53" t="s">
        <v>12</v>
      </c>
      <c r="B34" s="79" t="s">
        <v>117</v>
      </c>
      <c r="C34" s="51">
        <v>440</v>
      </c>
      <c r="D34" s="51">
        <v>440</v>
      </c>
      <c r="E34" s="51">
        <v>440</v>
      </c>
      <c r="F34" s="51">
        <v>440</v>
      </c>
      <c r="G34" s="51"/>
      <c r="H34" s="53"/>
      <c r="I34" s="51"/>
    </row>
    <row r="35" spans="1:13" x14ac:dyDescent="0.2">
      <c r="A35" s="53" t="s">
        <v>12</v>
      </c>
      <c r="B35" s="79" t="s">
        <v>120</v>
      </c>
      <c r="C35" s="51">
        <v>1650</v>
      </c>
      <c r="D35" s="51">
        <v>1650</v>
      </c>
      <c r="E35" s="51">
        <v>1650</v>
      </c>
      <c r="F35" s="51">
        <v>1650</v>
      </c>
      <c r="G35" s="51">
        <v>3200</v>
      </c>
      <c r="H35" s="53"/>
      <c r="I35" s="51"/>
    </row>
    <row r="36" spans="1:13" x14ac:dyDescent="0.2">
      <c r="A36" s="50" t="s">
        <v>12</v>
      </c>
      <c r="B36" s="50" t="s">
        <v>9</v>
      </c>
      <c r="C36" s="52">
        <f>SUM(C26:C35)</f>
        <v>5296.9</v>
      </c>
      <c r="D36" s="52">
        <f>SUM(D26:D35)</f>
        <v>10746.9</v>
      </c>
      <c r="E36" s="52">
        <f>SUM(E26:E35)</f>
        <v>9771.34</v>
      </c>
      <c r="F36" s="52">
        <f>SUM(F26:F35)</f>
        <v>11581.9</v>
      </c>
      <c r="G36" s="52">
        <f>SUM(G26:G35)</f>
        <v>9290</v>
      </c>
      <c r="H36" s="8"/>
      <c r="I36" s="51"/>
      <c r="K36" s="56" t="s">
        <v>50</v>
      </c>
    </row>
    <row r="37" spans="1:13" x14ac:dyDescent="0.2">
      <c r="A37" s="53" t="s">
        <v>12</v>
      </c>
      <c r="B37" s="53" t="s">
        <v>10</v>
      </c>
      <c r="C37" s="51">
        <f>C36*0.05</f>
        <v>264.84499999999997</v>
      </c>
      <c r="D37" s="51">
        <f t="shared" ref="D37:G37" si="24">D36*0.05</f>
        <v>537.34500000000003</v>
      </c>
      <c r="E37" s="51">
        <f t="shared" ref="E37" si="25">E36*0.05</f>
        <v>488.56700000000001</v>
      </c>
      <c r="F37" s="51">
        <f t="shared" si="24"/>
        <v>579.09500000000003</v>
      </c>
      <c r="G37" s="51">
        <f t="shared" si="24"/>
        <v>464.5</v>
      </c>
      <c r="H37" s="8"/>
      <c r="I37" s="51"/>
      <c r="K37" s="1">
        <v>8.5</v>
      </c>
      <c r="L37" t="s">
        <v>51</v>
      </c>
    </row>
    <row r="38" spans="1:13" x14ac:dyDescent="0.2">
      <c r="A38" s="47" t="s">
        <v>12</v>
      </c>
      <c r="B38" s="47" t="s">
        <v>15</v>
      </c>
      <c r="C38" s="48">
        <f>C36+C37</f>
        <v>5561.7449999999999</v>
      </c>
      <c r="D38" s="48">
        <f t="shared" ref="D38:G38" si="26">D36+D37</f>
        <v>11284.244999999999</v>
      </c>
      <c r="E38" s="48">
        <f t="shared" ref="E38" si="27">E36+E37</f>
        <v>10259.906999999999</v>
      </c>
      <c r="F38" s="48">
        <f t="shared" si="26"/>
        <v>12160.994999999999</v>
      </c>
      <c r="G38" s="48">
        <f t="shared" si="26"/>
        <v>9754.5</v>
      </c>
      <c r="H38" s="46"/>
      <c r="I38" s="49"/>
      <c r="J38" s="28"/>
      <c r="K38">
        <v>600</v>
      </c>
      <c r="L38" t="s">
        <v>45</v>
      </c>
      <c r="M38" t="s">
        <v>52</v>
      </c>
    </row>
    <row r="39" spans="1:13" x14ac:dyDescent="0.2">
      <c r="A39" s="55"/>
      <c r="B39" s="55"/>
      <c r="C39" s="55"/>
      <c r="D39" s="55"/>
      <c r="E39" s="55"/>
      <c r="F39" s="55"/>
      <c r="G39" s="55"/>
      <c r="H39" s="55"/>
      <c r="I39" s="55"/>
      <c r="J39" s="28"/>
      <c r="K39" s="1">
        <f>Sheet1!A14</f>
        <v>13.438880000000001</v>
      </c>
      <c r="L39" t="s">
        <v>56</v>
      </c>
    </row>
    <row r="40" spans="1:13" x14ac:dyDescent="0.2">
      <c r="B40" t="s">
        <v>3</v>
      </c>
      <c r="C40" s="1">
        <f>C36+C23+C17+C10</f>
        <v>17178.919999999998</v>
      </c>
      <c r="D40" s="1">
        <f>D36+D23+D17+D10</f>
        <v>25368.92</v>
      </c>
      <c r="E40" s="1">
        <f>E36+E23+E17+E10</f>
        <v>24393.360000000001</v>
      </c>
      <c r="F40" s="1">
        <f>F36+F23+F17+F10</f>
        <v>26203.919999999998</v>
      </c>
      <c r="G40" s="1">
        <f>G36+G23+G17+G10</f>
        <v>23912.02</v>
      </c>
      <c r="L40" t="s">
        <v>57</v>
      </c>
    </row>
    <row r="41" spans="1:13" x14ac:dyDescent="0.2">
      <c r="B41" t="s">
        <v>4</v>
      </c>
      <c r="C41" s="1">
        <f t="shared" ref="C41:G41" si="28">C40*0.05</f>
        <v>858.94599999999991</v>
      </c>
      <c r="D41" s="1">
        <f t="shared" si="28"/>
        <v>1268.4459999999999</v>
      </c>
      <c r="E41" s="1">
        <f t="shared" si="28"/>
        <v>1219.6680000000001</v>
      </c>
      <c r="F41" s="1">
        <f t="shared" si="28"/>
        <v>1310.1959999999999</v>
      </c>
      <c r="G41" s="1">
        <f t="shared" si="28"/>
        <v>1195.6010000000001</v>
      </c>
    </row>
    <row r="42" spans="1:13" x14ac:dyDescent="0.2">
      <c r="B42" s="29" t="s">
        <v>5</v>
      </c>
      <c r="C42" s="30">
        <f t="shared" ref="C42" si="29">C41+C40</f>
        <v>18037.865999999998</v>
      </c>
      <c r="D42" s="30">
        <f t="shared" ref="D42:E42" si="30">D41+D40</f>
        <v>26637.365999999998</v>
      </c>
      <c r="E42" s="30">
        <f t="shared" si="30"/>
        <v>25613.028000000002</v>
      </c>
      <c r="F42" s="30">
        <f t="shared" ref="F42:G42" si="31">F41+F40</f>
        <v>27514.115999999998</v>
      </c>
      <c r="G42" s="30">
        <f t="shared" si="31"/>
        <v>25107.620999999999</v>
      </c>
      <c r="K42" s="28"/>
    </row>
    <row r="43" spans="1:13" x14ac:dyDescent="0.2">
      <c r="C43" s="1"/>
      <c r="D43" s="1"/>
      <c r="E43" s="1"/>
      <c r="F43" s="1"/>
      <c r="G43" s="1"/>
    </row>
    <row r="44" spans="1:13" x14ac:dyDescent="0.2">
      <c r="B44" t="s">
        <v>43</v>
      </c>
      <c r="C44" s="1">
        <f>C19</f>
        <v>3586.44</v>
      </c>
      <c r="D44" s="1">
        <f>D19</f>
        <v>3586.44</v>
      </c>
      <c r="E44" s="1">
        <f>E19</f>
        <v>3586.44</v>
      </c>
      <c r="F44" s="1">
        <f>F19</f>
        <v>3586.44</v>
      </c>
      <c r="G44" s="1">
        <f>G19</f>
        <v>3586.44</v>
      </c>
    </row>
    <row r="45" spans="1:13" x14ac:dyDescent="0.2">
      <c r="C45" s="28"/>
      <c r="D45" s="28"/>
      <c r="E45" s="28"/>
      <c r="F45" s="28"/>
      <c r="G45" s="28"/>
    </row>
    <row r="46" spans="1:13" x14ac:dyDescent="0.2">
      <c r="B46" s="6" t="s">
        <v>44</v>
      </c>
      <c r="C46" s="33">
        <f t="shared" ref="C46:G46" si="32">C42-C44</f>
        <v>14451.425999999998</v>
      </c>
      <c r="D46" s="33">
        <f t="shared" si="32"/>
        <v>23050.925999999999</v>
      </c>
      <c r="E46" s="33">
        <f t="shared" ref="E46" si="33">E42-E44</f>
        <v>22026.588000000003</v>
      </c>
      <c r="F46" s="33">
        <f t="shared" si="32"/>
        <v>23927.675999999999</v>
      </c>
      <c r="G46" s="33">
        <f t="shared" si="32"/>
        <v>21521.181</v>
      </c>
    </row>
    <row r="47" spans="1:13" x14ac:dyDescent="0.2">
      <c r="B47" s="6"/>
      <c r="C47" s="33">
        <f t="shared" ref="C47:G47" si="34">C46/2</f>
        <v>7225.7129999999988</v>
      </c>
      <c r="D47" s="33">
        <f t="shared" si="34"/>
        <v>11525.463</v>
      </c>
      <c r="E47" s="33">
        <f t="shared" si="34"/>
        <v>11013.294000000002</v>
      </c>
      <c r="F47" s="33">
        <f t="shared" si="34"/>
        <v>11963.838</v>
      </c>
      <c r="G47" s="33">
        <f t="shared" si="34"/>
        <v>10760.5905</v>
      </c>
      <c r="K47" t="s">
        <v>48</v>
      </c>
    </row>
    <row r="48" spans="1:13" x14ac:dyDescent="0.2">
      <c r="C48" s="28"/>
      <c r="D48" s="28"/>
      <c r="E48" s="28"/>
      <c r="F48" s="28"/>
      <c r="G48" s="28"/>
      <c r="K48" t="s">
        <v>46</v>
      </c>
      <c r="L48" s="40">
        <v>500</v>
      </c>
    </row>
    <row r="49" spans="2:13" x14ac:dyDescent="0.2">
      <c r="C49" s="28"/>
      <c r="D49" s="28"/>
      <c r="E49" s="28"/>
      <c r="F49" s="28"/>
      <c r="G49" s="28"/>
      <c r="K49" t="s">
        <v>47</v>
      </c>
      <c r="L49">
        <v>238</v>
      </c>
    </row>
    <row r="50" spans="2:13" x14ac:dyDescent="0.2">
      <c r="C50" s="28"/>
      <c r="D50" s="28"/>
      <c r="E50" s="28"/>
      <c r="F50" s="28"/>
      <c r="G50" s="28"/>
      <c r="K50" t="s">
        <v>105</v>
      </c>
    </row>
    <row r="51" spans="2:13" x14ac:dyDescent="0.2">
      <c r="D51" s="28"/>
      <c r="E51" s="28"/>
    </row>
    <row r="53" spans="2:13" x14ac:dyDescent="0.2">
      <c r="B53" t="s">
        <v>49</v>
      </c>
      <c r="C53" s="28">
        <v>4.49</v>
      </c>
      <c r="D53" s="28">
        <v>15.39</v>
      </c>
      <c r="E53" s="57">
        <f>K39</f>
        <v>13.438880000000001</v>
      </c>
      <c r="F53" s="28">
        <v>17.059999999999999</v>
      </c>
      <c r="G53" s="57">
        <f>SUM(I42+K45)</f>
        <v>0</v>
      </c>
      <c r="K53" t="s">
        <v>108</v>
      </c>
    </row>
    <row r="54" spans="2:13" x14ac:dyDescent="0.2">
      <c r="K54" t="s">
        <v>109</v>
      </c>
      <c r="L54">
        <v>11.88</v>
      </c>
      <c r="M54" t="s">
        <v>110</v>
      </c>
    </row>
    <row r="55" spans="2:13" x14ac:dyDescent="0.2">
      <c r="K55" t="s">
        <v>111</v>
      </c>
      <c r="L55">
        <f>5700/500</f>
        <v>11.4</v>
      </c>
      <c r="M55" t="s">
        <v>112</v>
      </c>
    </row>
  </sheetData>
  <phoneticPr fontId="7" type="noConversion"/>
  <conditionalFormatting sqref="C42:G4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K36" r:id="rId1" xr:uid="{1A66CCC9-3FE6-EF41-B40E-2005D7D513D8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132DB-7982-154A-9D42-BAEDB4695B23}">
  <dimension ref="A1:G14"/>
  <sheetViews>
    <sheetView workbookViewId="0">
      <selection activeCell="B16" sqref="B16"/>
    </sheetView>
  </sheetViews>
  <sheetFormatPr baseColWidth="10" defaultRowHeight="16" x14ac:dyDescent="0.2"/>
  <sheetData>
    <row r="1" spans="1:7" x14ac:dyDescent="0.2">
      <c r="A1" t="s">
        <v>129</v>
      </c>
      <c r="E1" t="s">
        <v>123</v>
      </c>
    </row>
    <row r="2" spans="1:7" x14ac:dyDescent="0.2">
      <c r="A2">
        <v>3.25</v>
      </c>
      <c r="B2" t="s">
        <v>130</v>
      </c>
      <c r="E2">
        <v>238</v>
      </c>
      <c r="F2" t="s">
        <v>124</v>
      </c>
    </row>
    <row r="3" spans="1:7" x14ac:dyDescent="0.2">
      <c r="A3">
        <f>E5</f>
        <v>512.6</v>
      </c>
      <c r="B3" t="s">
        <v>122</v>
      </c>
      <c r="E3">
        <v>23.5</v>
      </c>
      <c r="F3" t="s">
        <v>125</v>
      </c>
    </row>
    <row r="4" spans="1:7" x14ac:dyDescent="0.2">
      <c r="A4" s="67">
        <v>1890.5</v>
      </c>
      <c r="B4" t="s">
        <v>131</v>
      </c>
      <c r="E4">
        <v>466</v>
      </c>
      <c r="F4" t="s">
        <v>126</v>
      </c>
    </row>
    <row r="5" spans="1:7" x14ac:dyDescent="0.2">
      <c r="A5" s="1">
        <v>3.25</v>
      </c>
      <c r="B5" t="s">
        <v>132</v>
      </c>
      <c r="E5">
        <f>E4*1.1</f>
        <v>512.6</v>
      </c>
      <c r="F5" t="s">
        <v>127</v>
      </c>
      <c r="G5" t="s">
        <v>128</v>
      </c>
    </row>
    <row r="6" spans="1:7" x14ac:dyDescent="0.2">
      <c r="A6">
        <v>1715</v>
      </c>
      <c r="B6" t="s">
        <v>134</v>
      </c>
    </row>
    <row r="8" spans="1:7" x14ac:dyDescent="0.2">
      <c r="A8">
        <v>1846</v>
      </c>
      <c r="B8" t="s">
        <v>135</v>
      </c>
    </row>
    <row r="9" spans="1:7" x14ac:dyDescent="0.2">
      <c r="A9" s="1">
        <f>A8*A5</f>
        <v>5999.5</v>
      </c>
      <c r="B9" t="s">
        <v>136</v>
      </c>
    </row>
    <row r="10" spans="1:7" x14ac:dyDescent="0.2">
      <c r="A10">
        <v>1715</v>
      </c>
      <c r="B10" t="s">
        <v>133</v>
      </c>
    </row>
    <row r="11" spans="1:7" x14ac:dyDescent="0.2">
      <c r="A11" s="1">
        <f>A10*A5</f>
        <v>5573.75</v>
      </c>
    </row>
    <row r="13" spans="1:7" x14ac:dyDescent="0.2">
      <c r="A13" s="28">
        <f>(A11*1.12)/500</f>
        <v>12.485200000000001</v>
      </c>
      <c r="B13" t="s">
        <v>137</v>
      </c>
    </row>
    <row r="14" spans="1:7" x14ac:dyDescent="0.2">
      <c r="A14" s="28">
        <f>(A9*1.12)/500</f>
        <v>13.438880000000001</v>
      </c>
      <c r="B14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2720F-8C7A-B744-ABBA-A843FE8E555E}">
  <dimension ref="A1:L37"/>
  <sheetViews>
    <sheetView zoomScale="86" workbookViewId="0">
      <selection activeCell="A36" sqref="A36"/>
    </sheetView>
  </sheetViews>
  <sheetFormatPr baseColWidth="10" defaultRowHeight="16" x14ac:dyDescent="0.2"/>
  <cols>
    <col min="1" max="1" width="12.83203125" customWidth="1"/>
    <col min="2" max="2" width="21.1640625" customWidth="1"/>
    <col min="3" max="3" width="18.33203125" customWidth="1"/>
    <col min="4" max="8" width="33.33203125" customWidth="1"/>
    <col min="9" max="9" width="19.33203125" customWidth="1"/>
  </cols>
  <sheetData>
    <row r="1" spans="1:12" x14ac:dyDescent="0.2">
      <c r="E1" t="s">
        <v>86</v>
      </c>
      <c r="G1" t="s">
        <v>87</v>
      </c>
      <c r="H1" t="s">
        <v>88</v>
      </c>
      <c r="I1">
        <v>23</v>
      </c>
    </row>
    <row r="2" spans="1:12" x14ac:dyDescent="0.2">
      <c r="A2" t="s">
        <v>101</v>
      </c>
      <c r="B2" s="64" t="s">
        <v>89</v>
      </c>
      <c r="C2" s="62" t="s">
        <v>90</v>
      </c>
      <c r="D2" s="64" t="s">
        <v>91</v>
      </c>
      <c r="E2" s="64" t="s">
        <v>92</v>
      </c>
      <c r="F2" s="64" t="s">
        <v>93</v>
      </c>
      <c r="G2" s="64" t="s">
        <v>94</v>
      </c>
      <c r="H2" s="64" t="s">
        <v>95</v>
      </c>
      <c r="I2" s="64" t="s">
        <v>96</v>
      </c>
      <c r="J2" s="61" t="s">
        <v>99</v>
      </c>
      <c r="L2" s="61" t="s">
        <v>84</v>
      </c>
    </row>
    <row r="3" spans="1:12" x14ac:dyDescent="0.2">
      <c r="B3" s="65">
        <v>3</v>
      </c>
      <c r="C3" s="63">
        <v>1.75</v>
      </c>
      <c r="D3" s="64">
        <v>3.25</v>
      </c>
      <c r="E3" s="64">
        <v>3.25</v>
      </c>
      <c r="F3" s="64">
        <v>3.25</v>
      </c>
      <c r="G3" s="64">
        <v>3.25</v>
      </c>
      <c r="H3" s="64">
        <v>3.25</v>
      </c>
      <c r="I3" s="65">
        <v>3</v>
      </c>
      <c r="J3" t="s">
        <v>100</v>
      </c>
      <c r="L3">
        <f>SUM(A3:K3)</f>
        <v>24</v>
      </c>
    </row>
    <row r="4" spans="1:12" x14ac:dyDescent="0.2">
      <c r="B4" s="64" t="s">
        <v>97</v>
      </c>
      <c r="C4" s="62" t="s">
        <v>98</v>
      </c>
      <c r="D4" s="64" t="s">
        <v>97</v>
      </c>
      <c r="E4" s="64" t="s">
        <v>97</v>
      </c>
      <c r="F4" s="64" t="s">
        <v>97</v>
      </c>
      <c r="G4" s="64" t="s">
        <v>97</v>
      </c>
      <c r="H4" s="64" t="s">
        <v>97</v>
      </c>
      <c r="I4" s="64" t="s">
        <v>97</v>
      </c>
    </row>
    <row r="6" spans="1:12" x14ac:dyDescent="0.2">
      <c r="A6" t="s">
        <v>102</v>
      </c>
    </row>
    <row r="7" spans="1:12" x14ac:dyDescent="0.2">
      <c r="A7" t="s">
        <v>103</v>
      </c>
    </row>
    <row r="8" spans="1:12" x14ac:dyDescent="0.2">
      <c r="A8" s="64" t="s">
        <v>89</v>
      </c>
      <c r="B8" s="65">
        <v>2.5</v>
      </c>
      <c r="C8" s="64" t="s">
        <v>97</v>
      </c>
    </row>
    <row r="9" spans="1:12" x14ac:dyDescent="0.2">
      <c r="A9" s="62" t="s">
        <v>90</v>
      </c>
      <c r="B9" s="63">
        <v>1.75</v>
      </c>
      <c r="C9" s="62" t="s">
        <v>98</v>
      </c>
    </row>
    <row r="10" spans="1:12" x14ac:dyDescent="0.2">
      <c r="A10" s="64" t="s">
        <v>91</v>
      </c>
      <c r="B10" s="64">
        <v>3.25</v>
      </c>
      <c r="C10" s="64" t="s">
        <v>97</v>
      </c>
    </row>
    <row r="11" spans="1:12" x14ac:dyDescent="0.2">
      <c r="A11" s="64" t="s">
        <v>92</v>
      </c>
      <c r="B11" s="64">
        <v>3.25</v>
      </c>
      <c r="C11" s="64" t="s">
        <v>97</v>
      </c>
    </row>
    <row r="12" spans="1:12" x14ac:dyDescent="0.2">
      <c r="A12" s="64" t="s">
        <v>93</v>
      </c>
      <c r="B12" s="64">
        <v>3.25</v>
      </c>
      <c r="C12" s="64" t="s">
        <v>97</v>
      </c>
    </row>
    <row r="13" spans="1:12" x14ac:dyDescent="0.2">
      <c r="A13" s="64" t="s">
        <v>94</v>
      </c>
      <c r="B13" s="64">
        <v>3.25</v>
      </c>
      <c r="C13" s="64" t="s">
        <v>97</v>
      </c>
    </row>
    <row r="14" spans="1:12" x14ac:dyDescent="0.2">
      <c r="A14" s="64" t="s">
        <v>95</v>
      </c>
      <c r="B14" s="64">
        <v>3.25</v>
      </c>
      <c r="C14" s="64" t="s">
        <v>97</v>
      </c>
    </row>
    <row r="15" spans="1:12" x14ac:dyDescent="0.2">
      <c r="A15" s="64" t="s">
        <v>96</v>
      </c>
      <c r="B15" s="65">
        <v>2.5</v>
      </c>
      <c r="C15" s="64" t="s">
        <v>97</v>
      </c>
    </row>
    <row r="16" spans="1:12" x14ac:dyDescent="0.2">
      <c r="A16" s="66" t="s">
        <v>104</v>
      </c>
    </row>
    <row r="19" spans="1:12" x14ac:dyDescent="0.2">
      <c r="A19" t="s">
        <v>101</v>
      </c>
      <c r="B19" s="64" t="s">
        <v>83</v>
      </c>
      <c r="C19" s="62" t="s">
        <v>90</v>
      </c>
      <c r="D19" s="64" t="s">
        <v>107</v>
      </c>
      <c r="E19" s="64" t="s">
        <v>92</v>
      </c>
      <c r="F19" s="64" t="s">
        <v>93</v>
      </c>
      <c r="G19" s="64" t="s">
        <v>94</v>
      </c>
      <c r="H19" s="61" t="s">
        <v>99</v>
      </c>
      <c r="I19" s="68" t="s">
        <v>84</v>
      </c>
      <c r="J19" s="61"/>
      <c r="L19" s="61"/>
    </row>
    <row r="20" spans="1:12" x14ac:dyDescent="0.2">
      <c r="B20" s="65">
        <v>3.25</v>
      </c>
      <c r="C20" s="63">
        <v>1.75</v>
      </c>
      <c r="D20" s="64">
        <v>5.25</v>
      </c>
      <c r="E20" s="64">
        <v>5.25</v>
      </c>
      <c r="F20" s="64">
        <v>5.25</v>
      </c>
      <c r="G20" s="64">
        <v>3.25</v>
      </c>
      <c r="H20" t="s">
        <v>100</v>
      </c>
      <c r="I20">
        <f>SUM(B20:G20)</f>
        <v>24</v>
      </c>
    </row>
    <row r="21" spans="1:12" x14ac:dyDescent="0.2">
      <c r="B21" s="64" t="s">
        <v>97</v>
      </c>
      <c r="C21" s="62" t="s">
        <v>98</v>
      </c>
      <c r="D21" s="64" t="s">
        <v>97</v>
      </c>
      <c r="E21" s="64" t="s">
        <v>97</v>
      </c>
      <c r="F21" s="64" t="s">
        <v>97</v>
      </c>
      <c r="G21" s="64" t="s">
        <v>97</v>
      </c>
    </row>
    <row r="23" spans="1:12" x14ac:dyDescent="0.2">
      <c r="B23" t="s">
        <v>114</v>
      </c>
      <c r="D23" t="s">
        <v>113</v>
      </c>
      <c r="E23" t="s">
        <v>113</v>
      </c>
      <c r="F23" t="s">
        <v>113</v>
      </c>
      <c r="G23" t="s">
        <v>113</v>
      </c>
    </row>
    <row r="24" spans="1:12" x14ac:dyDescent="0.2">
      <c r="B24" s="69" t="s">
        <v>83</v>
      </c>
      <c r="C24" s="70" t="s">
        <v>90</v>
      </c>
      <c r="D24" s="71" t="s">
        <v>107</v>
      </c>
      <c r="E24" s="71" t="s">
        <v>92</v>
      </c>
      <c r="F24" s="71" t="s">
        <v>93</v>
      </c>
      <c r="G24" s="71" t="s">
        <v>94</v>
      </c>
      <c r="I24" s="68" t="s">
        <v>84</v>
      </c>
    </row>
    <row r="25" spans="1:12" x14ac:dyDescent="0.2">
      <c r="B25" s="72">
        <v>4.25</v>
      </c>
      <c r="C25" s="73">
        <v>1.75</v>
      </c>
      <c r="D25" s="74">
        <v>4.25</v>
      </c>
      <c r="E25" s="74">
        <v>4.25</v>
      </c>
      <c r="F25" s="74">
        <v>4.25</v>
      </c>
      <c r="G25" s="74">
        <v>4.25</v>
      </c>
      <c r="I25">
        <f>SUM(B25:G25)</f>
        <v>23</v>
      </c>
    </row>
    <row r="26" spans="1:12" x14ac:dyDescent="0.2">
      <c r="B26" s="75" t="s">
        <v>97</v>
      </c>
      <c r="C26" s="76" t="s">
        <v>98</v>
      </c>
      <c r="D26" s="74" t="s">
        <v>97</v>
      </c>
      <c r="E26" s="74" t="s">
        <v>97</v>
      </c>
      <c r="F26" s="74" t="s">
        <v>97</v>
      </c>
      <c r="G26" s="74" t="s">
        <v>97</v>
      </c>
    </row>
    <row r="29" spans="1:12" x14ac:dyDescent="0.2">
      <c r="A29" t="s">
        <v>115</v>
      </c>
    </row>
    <row r="30" spans="1:12" x14ac:dyDescent="0.2">
      <c r="A30" s="64" t="s">
        <v>89</v>
      </c>
      <c r="B30" s="65">
        <v>4.25</v>
      </c>
      <c r="C30" s="64" t="s">
        <v>97</v>
      </c>
    </row>
    <row r="31" spans="1:12" x14ac:dyDescent="0.2">
      <c r="A31" s="62" t="s">
        <v>90</v>
      </c>
      <c r="B31" s="63">
        <v>1.75</v>
      </c>
      <c r="C31" s="62" t="s">
        <v>98</v>
      </c>
    </row>
    <row r="32" spans="1:12" x14ac:dyDescent="0.2">
      <c r="A32" s="64" t="s">
        <v>91</v>
      </c>
      <c r="B32" s="65">
        <v>4.25</v>
      </c>
      <c r="C32" s="64" t="s">
        <v>97</v>
      </c>
    </row>
    <row r="33" spans="1:3" x14ac:dyDescent="0.2">
      <c r="A33" s="64" t="s">
        <v>92</v>
      </c>
      <c r="B33" s="65">
        <v>4.25</v>
      </c>
      <c r="C33" s="64" t="s">
        <v>97</v>
      </c>
    </row>
    <row r="34" spans="1:3" x14ac:dyDescent="0.2">
      <c r="A34" s="64" t="s">
        <v>93</v>
      </c>
      <c r="B34" s="65">
        <v>4.25</v>
      </c>
      <c r="C34" s="64" t="s">
        <v>97</v>
      </c>
    </row>
    <row r="35" spans="1:3" x14ac:dyDescent="0.2">
      <c r="A35" s="64" t="s">
        <v>94</v>
      </c>
      <c r="B35" s="65">
        <v>4.25</v>
      </c>
      <c r="C35" s="64" t="s">
        <v>97</v>
      </c>
    </row>
    <row r="36" spans="1:3" x14ac:dyDescent="0.2">
      <c r="A36" s="78" t="s">
        <v>104</v>
      </c>
    </row>
    <row r="37" spans="1:3" x14ac:dyDescent="0.2">
      <c r="B37" s="77">
        <f>SUM(B30:B35)</f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8F6CB-E4B7-FC43-9BD1-D92CA3E971D4}">
  <dimension ref="A1:I16"/>
  <sheetViews>
    <sheetView workbookViewId="0">
      <selection activeCell="C16" sqref="C16"/>
    </sheetView>
  </sheetViews>
  <sheetFormatPr baseColWidth="10" defaultRowHeight="16" x14ac:dyDescent="0.2"/>
  <cols>
    <col min="1" max="1" width="25.33203125" bestFit="1" customWidth="1"/>
  </cols>
  <sheetData>
    <row r="1" spans="1:9" x14ac:dyDescent="0.2">
      <c r="A1" t="s">
        <v>58</v>
      </c>
      <c r="E1" t="s">
        <v>80</v>
      </c>
    </row>
    <row r="2" spans="1:9" x14ac:dyDescent="0.2">
      <c r="A2" t="s">
        <v>78</v>
      </c>
      <c r="B2" t="s">
        <v>79</v>
      </c>
      <c r="C2" t="s">
        <v>82</v>
      </c>
      <c r="E2" t="s">
        <v>78</v>
      </c>
      <c r="F2" t="s">
        <v>79</v>
      </c>
      <c r="H2" s="58" t="s">
        <v>26</v>
      </c>
      <c r="I2" s="58" t="s">
        <v>59</v>
      </c>
    </row>
    <row r="3" spans="1:9" x14ac:dyDescent="0.2">
      <c r="A3" s="58" t="s">
        <v>26</v>
      </c>
      <c r="B3" s="60">
        <v>1440</v>
      </c>
      <c r="C3" s="1">
        <f>B3/SQ_FEET</f>
        <v>2.88</v>
      </c>
      <c r="E3" s="59" t="s">
        <v>68</v>
      </c>
      <c r="F3" s="59" t="s">
        <v>69</v>
      </c>
      <c r="H3" s="58" t="s">
        <v>60</v>
      </c>
      <c r="I3" s="58" t="s">
        <v>61</v>
      </c>
    </row>
    <row r="4" spans="1:9" x14ac:dyDescent="0.2">
      <c r="A4" s="58" t="s">
        <v>60</v>
      </c>
      <c r="B4" s="60">
        <v>2949.12</v>
      </c>
      <c r="C4" s="1">
        <f>B4/SQ_FEET</f>
        <v>5.8982399999999995</v>
      </c>
      <c r="E4" s="59" t="s">
        <v>70</v>
      </c>
      <c r="F4" s="59" t="s">
        <v>71</v>
      </c>
      <c r="H4" s="58" t="s">
        <v>62</v>
      </c>
      <c r="I4" s="58" t="s">
        <v>63</v>
      </c>
    </row>
    <row r="5" spans="1:9" x14ac:dyDescent="0.2">
      <c r="A5" s="58" t="s">
        <v>62</v>
      </c>
      <c r="B5" s="60">
        <v>2090.88</v>
      </c>
      <c r="C5" s="1">
        <f>B5/SQ_FEET</f>
        <v>4.1817600000000006</v>
      </c>
      <c r="E5" s="59" t="s">
        <v>72</v>
      </c>
      <c r="F5" s="59" t="s">
        <v>73</v>
      </c>
      <c r="H5" s="58"/>
      <c r="I5" s="58"/>
    </row>
    <row r="6" spans="1:9" x14ac:dyDescent="0.2">
      <c r="A6" s="58"/>
      <c r="B6" s="60"/>
      <c r="C6" s="1"/>
      <c r="H6" s="58" t="s">
        <v>64</v>
      </c>
      <c r="I6" s="58" t="s">
        <v>65</v>
      </c>
    </row>
    <row r="7" spans="1:9" x14ac:dyDescent="0.2">
      <c r="A7" s="58" t="s">
        <v>81</v>
      </c>
      <c r="B7" s="60">
        <v>7171.2</v>
      </c>
      <c r="C7" s="1">
        <f>B7/SQ_FEET</f>
        <v>14.3424</v>
      </c>
      <c r="H7" s="58" t="s">
        <v>66</v>
      </c>
      <c r="I7" s="58" t="s">
        <v>67</v>
      </c>
    </row>
    <row r="8" spans="1:9" x14ac:dyDescent="0.2">
      <c r="A8" s="58" t="s">
        <v>66</v>
      </c>
      <c r="B8" s="60">
        <v>7948.8</v>
      </c>
      <c r="C8" s="1">
        <f>B8/SQ_FEET</f>
        <v>15.897600000000001</v>
      </c>
      <c r="H8" s="58"/>
      <c r="I8" s="58"/>
    </row>
    <row r="9" spans="1:9" x14ac:dyDescent="0.2">
      <c r="A9" s="58" t="s">
        <v>85</v>
      </c>
      <c r="B9" s="60">
        <v>5825</v>
      </c>
      <c r="C9" s="1">
        <f>B9/SQ_FEET</f>
        <v>11.65</v>
      </c>
      <c r="H9" s="58" t="s">
        <v>68</v>
      </c>
      <c r="I9" s="58" t="s">
        <v>69</v>
      </c>
    </row>
    <row r="10" spans="1:9" x14ac:dyDescent="0.2">
      <c r="A10" s="58"/>
      <c r="B10" s="60"/>
      <c r="C10" s="1"/>
      <c r="H10" s="58" t="s">
        <v>70</v>
      </c>
      <c r="I10" s="58" t="s">
        <v>71</v>
      </c>
    </row>
    <row r="11" spans="1:9" x14ac:dyDescent="0.2">
      <c r="A11" s="58" t="s">
        <v>74</v>
      </c>
      <c r="B11" s="60">
        <v>4734.72</v>
      </c>
      <c r="C11" s="1"/>
      <c r="H11" s="58" t="s">
        <v>72</v>
      </c>
      <c r="I11" s="58" t="s">
        <v>73</v>
      </c>
    </row>
    <row r="12" spans="1:9" x14ac:dyDescent="0.2">
      <c r="A12" s="58" t="s">
        <v>75</v>
      </c>
      <c r="B12" s="60">
        <v>195.84</v>
      </c>
      <c r="C12" s="1"/>
      <c r="H12" s="58"/>
    </row>
    <row r="13" spans="1:9" x14ac:dyDescent="0.2">
      <c r="A13" s="58" t="s">
        <v>76</v>
      </c>
      <c r="B13" s="60">
        <v>1042.56</v>
      </c>
      <c r="C13" s="1"/>
    </row>
    <row r="14" spans="1:9" x14ac:dyDescent="0.2">
      <c r="A14" s="58" t="s">
        <v>77</v>
      </c>
      <c r="B14" s="60">
        <v>116.88</v>
      </c>
      <c r="C14" s="1"/>
    </row>
    <row r="15" spans="1:9" x14ac:dyDescent="0.2">
      <c r="A15" s="58" t="s">
        <v>84</v>
      </c>
      <c r="B15" s="60">
        <f>SUM(B11:B14)</f>
        <v>6090.0000000000009</v>
      </c>
      <c r="C15" s="1">
        <f>B15/SQ_FEET</f>
        <v>12.180000000000001</v>
      </c>
    </row>
    <row r="16" spans="1:9" x14ac:dyDescent="0.2">
      <c r="B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calculations</vt:lpstr>
      <vt:lpstr>Sheet1</vt:lpstr>
      <vt:lpstr>Sheet3</vt:lpstr>
      <vt:lpstr>soffit materials</vt:lpstr>
      <vt:lpstr>SQ_FEET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f</dc:creator>
  <cp:lastModifiedBy>R f</cp:lastModifiedBy>
  <dcterms:created xsi:type="dcterms:W3CDTF">2026-01-30T21:19:56Z</dcterms:created>
  <dcterms:modified xsi:type="dcterms:W3CDTF">2026-04-14T06:17:25Z</dcterms:modified>
</cp:coreProperties>
</file>